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Расчёт" sheetId="2" state="visible" r:id="rId2"/>
    <sheet name="К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4" customWidth="1" min="3" max="3"/>
    <col width="30" customWidth="1" min="4" max="4"/>
    <col width="30" customWidth="1" min="5" max="5"/>
  </cols>
  <sheetData>
    <row r="1">
      <c r="A1" s="1" t="inlineStr">
        <is>
          <t>Параметры ценообразования</t>
        </is>
      </c>
    </row>
    <row r="3">
      <c r="A3" s="2" t="inlineStr">
        <is>
          <t>Параметр</t>
        </is>
      </c>
      <c r="B3" s="2" t="inlineStr">
        <is>
          <t>Значение</t>
        </is>
      </c>
    </row>
    <row r="4">
      <c r="A4" s="3" t="inlineStr">
        <is>
          <t>Валюта</t>
        </is>
      </c>
      <c r="B4" s="3" t="inlineStr">
        <is>
          <t>RUB</t>
        </is>
      </c>
    </row>
    <row r="5">
      <c r="A5" s="3" t="inlineStr">
        <is>
          <t>Pro: Base (до 3 линий), ₽/год</t>
        </is>
      </c>
      <c r="B5" s="4" t="n">
        <v>900000</v>
      </c>
    </row>
    <row r="6">
      <c r="A6" s="3" t="inlineStr">
        <is>
          <t>Enterprise: Base (до 6 линий), ₽/год</t>
        </is>
      </c>
      <c r="B6" s="4" t="n">
        <v>2700000</v>
      </c>
    </row>
    <row r="7">
      <c r="A7" s="3" t="inlineStr">
        <is>
          <t>Цена доп. линии, ₽/год</t>
        </is>
      </c>
      <c r="B7" s="4" t="n">
        <v>220000</v>
      </c>
    </row>
    <row r="8">
      <c r="A8" s="3" t="inlineStr">
        <is>
          <t>Доп. площадка Pro, ₽/год</t>
        </is>
      </c>
      <c r="B8" s="4" t="n">
        <v>600000</v>
      </c>
    </row>
    <row r="9">
      <c r="A9" s="3" t="inlineStr">
        <is>
          <t>Доп. площадка Enterprise, ₽/год</t>
        </is>
      </c>
      <c r="B9" s="4" t="n">
        <v>1500000</v>
      </c>
    </row>
    <row r="10">
      <c r="A10" s="3" t="inlineStr">
        <is>
          <t>SLA 24/7, %</t>
        </is>
      </c>
      <c r="B10" s="5" t="n">
        <v>0.25</v>
      </c>
    </row>
    <row r="11">
      <c r="A11" s="3" t="inlineStr">
        <is>
          <t>Скидка за 100% предоплату, %</t>
        </is>
      </c>
      <c r="B11" s="5" t="n">
        <v>0.1</v>
      </c>
    </row>
    <row r="12">
      <c r="A12" s="3" t="inlineStr">
        <is>
          <t>Скидка за 2 года, %</t>
        </is>
      </c>
      <c r="B12" s="5" t="n">
        <v>0.15</v>
      </c>
    </row>
    <row r="13">
      <c r="A13" s="3" t="inlineStr">
        <is>
          <t>Пилот OEE (фикс), ₽</t>
        </is>
      </c>
      <c r="B13" s="4" t="n">
        <v>1500000</v>
      </c>
    </row>
    <row r="14">
      <c r="A14" s="3" t="inlineStr">
        <is>
          <t>Внедрение доп. линии, ₽</t>
        </is>
      </c>
      <c r="B14" s="4" t="n">
        <v>500000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4" customWidth="1" min="3" max="3"/>
    <col width="30" customWidth="1" min="4" max="4"/>
    <col width="30" customWidth="1" min="5" max="5"/>
  </cols>
  <sheetData>
    <row r="1">
      <c r="A1" s="1" t="inlineStr">
        <is>
          <t>Расчёт лицензии и внедрения</t>
        </is>
      </c>
    </row>
    <row r="3">
      <c r="A3" s="6" t="inlineStr">
        <is>
          <t>Входные параметры</t>
        </is>
      </c>
      <c r="D3" s="6" t="inlineStr">
        <is>
          <t>Расчётные значения</t>
        </is>
      </c>
    </row>
    <row r="4">
      <c r="A4" s="3" t="inlineStr">
        <is>
          <t>Тип (pilot/pro/enterprise)</t>
        </is>
      </c>
      <c r="B4" s="3" t="inlineStr">
        <is>
          <t>pro</t>
        </is>
      </c>
      <c r="D4" s="3" t="inlineStr">
        <is>
          <t>Base license/year</t>
        </is>
      </c>
      <c r="E4" s="4">
        <f>IF(B4="pro",Параметры!B5,IF(B4="enterprise",Параметры!B6,0))</f>
        <v/>
      </c>
    </row>
    <row r="5">
      <c r="A5" s="3" t="inlineStr">
        <is>
          <t>Кол-во площадок</t>
        </is>
      </c>
      <c r="B5" s="3" t="n">
        <v>1</v>
      </c>
      <c r="D5" s="3" t="inlineStr">
        <is>
          <t>Включённые линии</t>
        </is>
      </c>
      <c r="E5" s="4">
        <f>IF(B4="pro",3,IF(B4="enterprise",6,0))</f>
        <v/>
      </c>
    </row>
    <row r="6">
      <c r="A6" s="3" t="inlineStr">
        <is>
          <t>Кол-во линий всего</t>
        </is>
      </c>
      <c r="B6" s="3" t="n">
        <v>3</v>
      </c>
      <c r="D6" s="3" t="inlineStr">
        <is>
          <t>Доп. линии/год</t>
        </is>
      </c>
      <c r="E6" s="4">
        <f>MAX(0,B6-E5)*Параметры!B7</f>
        <v/>
      </c>
    </row>
    <row r="7">
      <c r="A7" s="3" t="inlineStr">
        <is>
          <t>Нужен SLA 24/7 (да/нет)</t>
        </is>
      </c>
      <c r="B7" s="3" t="inlineStr">
        <is>
          <t>нет</t>
        </is>
      </c>
      <c r="D7" s="3" t="inlineStr">
        <is>
          <t>Доп. площадки/год</t>
        </is>
      </c>
      <c r="E7" s="4">
        <f>MAX(0,B5-1)*IF(B4="pro",Параметры!B8,IF(B4="enterprise",Параметры!B9,0))</f>
        <v/>
      </c>
    </row>
    <row r="8">
      <c r="A8" s="3" t="inlineStr">
        <is>
          <t>Срок, лет (1 или 2)</t>
        </is>
      </c>
      <c r="B8" s="3" t="n">
        <v>1</v>
      </c>
      <c r="D8" s="3" t="inlineStr">
        <is>
          <t>Лицензия/год до SLA</t>
        </is>
      </c>
      <c r="E8" s="4">
        <f>E4+E6+E7</f>
        <v/>
      </c>
    </row>
    <row r="9">
      <c r="A9" s="3" t="inlineStr">
        <is>
          <t>Предоплата 100% (да/нет)</t>
        </is>
      </c>
      <c r="B9" s="3" t="inlineStr">
        <is>
          <t>нет</t>
        </is>
      </c>
      <c r="D9" s="3" t="inlineStr">
        <is>
          <t>SLA надбавка/год</t>
        </is>
      </c>
      <c r="E9" s="4">
        <f>IF(B7="да",E8*Параметры!B10,0)</f>
        <v/>
      </c>
    </row>
    <row r="10">
      <c r="A10" s="3" t="inlineStr">
        <is>
          <t>Кол-во новых линий внедрения</t>
        </is>
      </c>
      <c r="B10" s="3" t="n">
        <v>0</v>
      </c>
      <c r="D10" s="3" t="inlineStr">
        <is>
          <t>Лицензия/год итого</t>
        </is>
      </c>
      <c r="E10" s="4">
        <f>E8+E9</f>
        <v/>
      </c>
    </row>
    <row r="11">
      <c r="A11" s="3" t="inlineStr">
        <is>
          <t>Нужен пилот (да/нет)</t>
        </is>
      </c>
      <c r="B11" s="3" t="inlineStr">
        <is>
          <t>нет</t>
        </is>
      </c>
      <c r="D11" s="3" t="inlineStr">
        <is>
          <t>Лицензия за срок</t>
        </is>
      </c>
      <c r="E11" s="4">
        <f>E10*B8</f>
        <v/>
      </c>
    </row>
    <row r="12">
      <c r="A12" s="3" t="inlineStr">
        <is>
          <t>Зачёт пилота в лицензию, %</t>
        </is>
      </c>
      <c r="B12" s="5" t="n">
        <v>0.3</v>
      </c>
      <c r="D12" s="3" t="inlineStr">
        <is>
          <t>Скидка</t>
        </is>
      </c>
      <c r="E12" s="5">
        <f>IF(B8=2,Параметры!B12,IF(B9="да",Параметры!B11,0))</f>
        <v/>
      </c>
    </row>
    <row r="13">
      <c r="D13" s="3" t="inlineStr">
        <is>
          <t>Лицензия после скидки</t>
        </is>
      </c>
      <c r="E13" s="4">
        <f>E11*(1-E12)</f>
        <v/>
      </c>
    </row>
    <row r="14">
      <c r="D14" s="3" t="inlineStr">
        <is>
          <t>Услуги внедрения</t>
        </is>
      </c>
      <c r="E14" s="4">
        <f>B10*Параметры!B14</f>
        <v/>
      </c>
    </row>
    <row r="15">
      <c r="D15" s="3" t="inlineStr">
        <is>
          <t>Пилот</t>
        </is>
      </c>
      <c r="E15" s="4">
        <f>IF(B11="да",Параметры!B13,0)</f>
        <v/>
      </c>
    </row>
    <row r="16">
      <c r="D16" s="3" t="inlineStr">
        <is>
          <t>Зачёт пилота</t>
        </is>
      </c>
      <c r="E16" s="4">
        <f>IF(AND(B11="да",B4&lt;&gt;"pilot"),MIN(E15*B12,E13),0)</f>
        <v/>
      </c>
    </row>
    <row r="17">
      <c r="D17" s="3" t="inlineStr">
        <is>
          <t>Итог КП</t>
        </is>
      </c>
      <c r="E17" s="4">
        <f>E13+E14+E15-E16</f>
        <v/>
      </c>
    </row>
  </sheetData>
  <mergeCells count="3">
    <mergeCell ref="A3:B3"/>
    <mergeCell ref="D3:E3"/>
    <mergeCell ref="A1:E1"/>
  </mergeCells>
  <dataValidations count="4">
    <dataValidation sqref="B4" showDropDown="0" showInputMessage="0" showErrorMessage="0" allowBlank="0" type="list">
      <formula1>"pilot,pro,enterprise"</formula1>
    </dataValidation>
    <dataValidation sqref="B7" showDropDown="0" showInputMessage="0" showErrorMessage="0" allowBlank="0" type="list">
      <formula1>"да,нет"</formula1>
    </dataValidation>
    <dataValidation sqref="B9 B11" showDropDown="0" showInputMessage="0" showErrorMessage="0" allowBlank="0" type="list">
      <formula1>"да,нет"</formula1>
    </dataValidation>
    <dataValidation sqref="B8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4" customWidth="1" min="3" max="3"/>
    <col width="30" customWidth="1" min="4" max="4"/>
    <col width="30" customWidth="1" min="5" max="5"/>
  </cols>
  <sheetData>
    <row r="1">
      <c r="A1" s="1" t="inlineStr">
        <is>
          <t>Сводка для коммерческого предложения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Клиент</t>
        </is>
      </c>
      <c r="B4" s="3" t="inlineStr"/>
    </row>
    <row r="5">
      <c r="A5" s="3" t="inlineStr">
        <is>
          <t>Проект/линия</t>
        </is>
      </c>
      <c r="B5" s="3" t="inlineStr"/>
    </row>
    <row r="6">
      <c r="A6" s="3" t="inlineStr">
        <is>
          <t>Тип предложения</t>
        </is>
      </c>
      <c r="B6" s="3">
        <f>Расчёт!B4</f>
        <v/>
      </c>
    </row>
    <row r="7">
      <c r="A7" s="3" t="inlineStr">
        <is>
          <t>Площадок</t>
        </is>
      </c>
      <c r="B7" s="3">
        <f>Расчёт!B5</f>
        <v/>
      </c>
    </row>
    <row r="8">
      <c r="A8" s="3" t="inlineStr">
        <is>
          <t>Линий</t>
        </is>
      </c>
      <c r="B8" s="3">
        <f>Расчёт!B6</f>
        <v/>
      </c>
    </row>
    <row r="9">
      <c r="A9" s="3" t="inlineStr">
        <is>
          <t>Лицензия после скидки, ₽</t>
        </is>
      </c>
      <c r="B9" s="4">
        <f>Расчёт!E13</f>
        <v/>
      </c>
    </row>
    <row r="10">
      <c r="A10" s="3" t="inlineStr">
        <is>
          <t>Услуги внедрения, ₽</t>
        </is>
      </c>
      <c r="B10" s="4">
        <f>Расчёт!E14</f>
        <v/>
      </c>
    </row>
    <row r="11">
      <c r="A11" s="3" t="inlineStr">
        <is>
          <t>Пилот, ₽</t>
        </is>
      </c>
      <c r="B11" s="4">
        <f>Расчёт!E15</f>
        <v/>
      </c>
    </row>
    <row r="12">
      <c r="A12" s="3" t="inlineStr">
        <is>
          <t>Зачёт пилота, ₽</t>
        </is>
      </c>
      <c r="B12" s="4">
        <f>Расчёт!E16</f>
        <v/>
      </c>
    </row>
    <row r="13">
      <c r="A13" s="3" t="inlineStr">
        <is>
          <t>Итог КП, ₽</t>
        </is>
      </c>
      <c r="B13" s="4">
        <f>Расчёт!E17</f>
        <v/>
      </c>
    </row>
    <row r="14">
      <c r="A14" s="3" t="inlineStr">
        <is>
          <t>Платеж 1 (50%), ₽</t>
        </is>
      </c>
      <c r="B14" s="4">
        <f>B13*0.5</f>
        <v/>
      </c>
    </row>
    <row r="15">
      <c r="A15" s="3" t="inlineStr">
        <is>
          <t>Платеж 2 (30%), ₽</t>
        </is>
      </c>
      <c r="B15" s="4">
        <f>B13*0.3</f>
        <v/>
      </c>
    </row>
    <row r="16">
      <c r="A16" s="3" t="inlineStr">
        <is>
          <t>Платеж 3 (20%), ₽</t>
        </is>
      </c>
      <c r="B16" s="4">
        <f>B13*0.2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2026-06-07T17:00:00Z</dcterms:created>
  <dcterms:modified xsi:type="dcterms:W3CDTF">2026-06-07T17:00:00Z</dcterms:modified>
</cp:coreProperties>
</file>